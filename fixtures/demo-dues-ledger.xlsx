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  <sheet name="Rates" sheetId="2" r:id="rId2"/>
  </sheets>
  <calcPr calcId="124519" fullCalcOnLoad="1"/>
</workbook>
</file>

<file path=xl/sharedStrings.xml><?xml version="1.0" encoding="utf-8"?>
<sst xmlns="http://schemas.openxmlformats.org/spreadsheetml/2006/main" count="30" uniqueCount="25">
  <si>
    <t>member</t>
  </si>
  <si>
    <t>tier</t>
  </si>
  <si>
    <t>joined</t>
  </si>
  <si>
    <t>paid</t>
  </si>
  <si>
    <t>Ada</t>
  </si>
  <si>
    <t>pro</t>
  </si>
  <si>
    <t>2021-03-15</t>
  </si>
  <si>
    <t>Grace</t>
  </si>
  <si>
    <t>basic</t>
  </si>
  <si>
    <t>2022-07-01</t>
  </si>
  <si>
    <t>Alan</t>
  </si>
  <si>
    <t>plus</t>
  </si>
  <si>
    <t>2020-11-30</t>
  </si>
  <si>
    <t>Katherine</t>
  </si>
  <si>
    <t>2023-01-09</t>
  </si>
  <si>
    <t>Edsger</t>
  </si>
  <si>
    <t>2019-05-22</t>
  </si>
  <si>
    <t>total owed</t>
  </si>
  <si>
    <t>total outstanding</t>
  </si>
  <si>
    <t>unpaid count</t>
  </si>
  <si>
    <t>pro dues</t>
  </si>
  <si>
    <t>average owed</t>
  </si>
  <si>
    <t>members joined before 2022</t>
  </si>
  <si>
    <t>longest name</t>
  </si>
  <si>
    <t>missing tier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</si>
</sst>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B326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AE1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2"/>
    </row>
    <row r="2" spans="1:11">
      <c r="A2" t="s">
        <v>4</v>
      </c>
      <c r="B2" t="s">
        <v>5</v>
      </c>
      <c r="C2" t="s">
        <v>6</v>
      </c>
      <c r="D2" s="3">
        <v>750</v>
      </c>
      <c r="E2" s="3">
        <f>VLOOKUP(B2,Rates!$A$1:$B$3,2,FALSE)</f>
        <v>750</v>
      </c>
      <c r="F2" s="3">
        <f>E2-D2</f>
        <v>0</v>
      </c>
      <c r="G2" t="str">
        <f>IF(F2&lt;=0,"settled",IF(F2&gt;=E2,"unpaid","partial"))</f>
        <v>settled</v>
      </c>
      <c r="H2" t="str">
        <f>PROPER(A2)&amp;" ("&amp;UPPER(B2)&amp;")"</f>
        <v>Ada (PRO)</v>
      </c>
      <c r="I2">
        <f>VALUE(LEFT(C2,4))</f>
        <v>2021</v>
      </c>
      <c r="J2" t="str">
        <f>TEXT(E2,"$#,##0.00")</f>
        <v>$750.00</v>
      </c>
      <c r="K2" s="2"/>
    </row>
    <row r="3" spans="1:11">
      <c r="A3" t="s">
        <v>7</v>
      </c>
      <c r="B3" t="s">
        <v>8</v>
      </c>
      <c r="C3" t="s">
        <v>9</v>
      </c>
      <c r="D3" s="3">
        <v>0</v>
      </c>
      <c r="E3" s="3">
        <f>VLOOKUP(B3,Rates!$A$1:$B$3,2,FALSE)</f>
        <v>120</v>
      </c>
      <c r="F3" s="3">
        <f>E3-D3</f>
        <v>120</v>
      </c>
      <c r="G3" t="str">
        <f>IF(F3&lt;=0,"settled",IF(F3&gt;=E3,"unpaid","partial"))</f>
        <v>unpaid</v>
      </c>
      <c r="H3" t="str">
        <f>PROPER(A3)&amp;" ("&amp;UPPER(B3)&amp;")"</f>
        <v>Grace (BASIC)</v>
      </c>
      <c r="I3">
        <f>VALUE(LEFT(C3,4))</f>
        <v>2022</v>
      </c>
      <c r="J3" t="str">
        <f>TEXT(E3,"$#,##0.00")</f>
        <v>$120.00</v>
      </c>
      <c r="K3" s="2"/>
    </row>
    <row r="4" spans="1:11">
      <c r="A4" t="s">
        <v>10</v>
      </c>
      <c r="B4" t="s">
        <v>11</v>
      </c>
      <c r="C4" t="s">
        <v>12</v>
      </c>
      <c r="D4" s="3">
        <v>150</v>
      </c>
      <c r="E4" s="3">
        <f>VLOOKUP(B4,Rates!$A$1:$B$3,2,FALSE)</f>
        <v>300</v>
      </c>
      <c r="F4" s="3">
        <f>E4-D4</f>
        <v>150</v>
      </c>
      <c r="G4" t="str">
        <f>IF(F4&lt;=0,"settled",IF(F4&gt;=E4,"unpaid","partial"))</f>
        <v>partial</v>
      </c>
      <c r="H4" t="str">
        <f>PROPER(A4)&amp;" ("&amp;UPPER(B4)&amp;")"</f>
        <v>Alan (PLUS)</v>
      </c>
      <c r="I4">
        <f>VALUE(LEFT(C4,4))</f>
        <v>2020</v>
      </c>
      <c r="J4" t="str">
        <f>TEXT(E4,"$#,##0.00")</f>
        <v>$300.00</v>
      </c>
      <c r="K4" s="2"/>
    </row>
    <row r="5" spans="1:11">
      <c r="A5" t="s">
        <v>13</v>
      </c>
      <c r="B5" t="s">
        <v>5</v>
      </c>
      <c r="C5" t="s">
        <v>14</v>
      </c>
      <c r="D5" s="3">
        <v>750</v>
      </c>
      <c r="E5" s="3">
        <f>VLOOKUP(B5,Rates!$A$1:$B$3,2,FALSE)</f>
        <v>750</v>
      </c>
      <c r="F5" s="3">
        <f>E5-D5</f>
        <v>0</v>
      </c>
      <c r="G5" t="str">
        <f>IF(F5&lt;=0,"settled",IF(F5&gt;=E5,"unpaid","partial"))</f>
        <v>settled</v>
      </c>
      <c r="H5" t="str">
        <f>PROPER(A5)&amp;" ("&amp;UPPER(B5)&amp;")"</f>
        <v>Katherine (PRO)</v>
      </c>
      <c r="I5">
        <f>VALUE(LEFT(C5,4))</f>
        <v>2023</v>
      </c>
      <c r="J5" t="str">
        <f>TEXT(E5,"$#,##0.00")</f>
        <v>$750.00</v>
      </c>
      <c r="K5" s="2"/>
    </row>
    <row r="6" spans="1:11">
      <c r="A6" t="s">
        <v>15</v>
      </c>
      <c r="B6" t="s">
        <v>8</v>
      </c>
      <c r="C6" t="s">
        <v>16</v>
      </c>
      <c r="D6" s="3">
        <v>120</v>
      </c>
      <c r="E6" s="3">
        <f>VLOOKUP(B6,Rates!$A$1:$B$3,2,FALSE)</f>
        <v>120</v>
      </c>
      <c r="F6" s="3">
        <f>E6-D6</f>
        <v>0</v>
      </c>
      <c r="G6" t="str">
        <f>IF(F6&lt;=0,"settled",IF(F6&gt;=E6,"unpaid","partial"))</f>
        <v>settled</v>
      </c>
      <c r="H6" t="str">
        <f>PROPER(A6)&amp;" ("&amp;UPPER(B6)&amp;")"</f>
        <v>Edsger (BASIC)</v>
      </c>
      <c r="I6">
        <f>VALUE(LEFT(C6,4))</f>
        <v>2019</v>
      </c>
      <c r="J6" t="str">
        <f>TEXT(E6,"$#,##0.00")</f>
        <v>$120.00</v>
      </c>
      <c r="K6" s="2"/>
    </row>
    <row r="22" spans="1:2">
      <c r="A22" s="4" t="s">
        <v>17</v>
      </c>
      <c r="B22" s="5">
        <f>SUM(E2:E20)</f>
        <v>2040</v>
      </c>
    </row>
    <row r="23" spans="1:2">
      <c r="A23" s="6" t="s">
        <v>18</v>
      </c>
      <c r="B23" s="7">
        <f>SUM(F2:F20)</f>
        <v>270</v>
      </c>
    </row>
    <row r="24" spans="1:2">
      <c r="A24" s="6" t="s">
        <v>19</v>
      </c>
      <c r="B24" s="7">
        <f>COUNTIF(G2:G20,"unpaid")</f>
        <v>1</v>
      </c>
    </row>
    <row r="25" spans="1:2">
      <c r="A25" s="6" t="s">
        <v>20</v>
      </c>
      <c r="B25" s="7">
        <f>SUMIF(B2:B20,"pro",E2:E20)</f>
        <v>1500</v>
      </c>
    </row>
    <row r="26" spans="1:2">
      <c r="A26" s="6" t="s">
        <v>21</v>
      </c>
      <c r="B26" s="7">
        <f>AVERAGE(E2:E20)</f>
        <v>408</v>
      </c>
    </row>
    <row r="27" spans="1:2">
      <c r="A27" s="6" t="s">
        <v>22</v>
      </c>
      <c r="B27" s="7">
        <f>COUNTIF(I2:I20,"&lt;2022")</f>
        <v>3</v>
      </c>
    </row>
    <row r="28" spans="1:2">
      <c r="A28" s="6" t="s">
        <v>23</v>
      </c>
      <c r="B28" s="7">
        <f>MAX(LEN(A2),LEN(A3),LEN(A4),LEN(A5),LEN(A6))</f>
        <v>9</v>
      </c>
    </row>
    <row r="29" spans="1:2">
      <c r="A29" s="8" t="s">
        <v>24</v>
      </c>
      <c r="B29" s="9" t="e">
        <f>VLOOKUP("gold",Rates!$A$1:$B$3,2,FALSE)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0" t="s">
        <v>8</v>
      </c>
      <c r="B1" s="10">
        <v>120</v>
      </c>
    </row>
    <row r="2" spans="1:2">
      <c r="A2" s="10" t="s">
        <v>11</v>
      </c>
      <c r="B2" s="10">
        <v>300</v>
      </c>
    </row>
    <row r="3" spans="1:2">
      <c r="A3" s="10" t="s">
        <v>5</v>
      </c>
      <c r="B3" s="10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2026-08-02T18:20:42Z</dcterms:created>
  <dcterms:modified xsi:type="dcterms:W3CDTF">2026-08-02T18:20:42Z</dcterms:modified>
</cp:coreProperties>
</file>